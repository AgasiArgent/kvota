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8" customWidth="1" min="4" max="4"/>
    <col width="10" customWidth="1" min="5" max="5"/>
    <col width="16" customWidth="1" min="6" max="6"/>
    <col width="20" customWidth="1" min="7" max="7"/>
    <col width="15" customWidth="1" min="8" max="8"/>
    <col width="20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НАСТРОЙКИ КОТИРОВКИ</t>
        </is>
      </c>
    </row>
    <row r="2">
      <c r="A2" s="2" t="inlineStr">
        <is>
          <t>Компания-продавец</t>
        </is>
      </c>
      <c r="B2" s="2" t="inlineStr">
        <is>
          <t>Вид КП</t>
        </is>
      </c>
      <c r="C2" s="2" t="inlineStr">
        <is>
          <t>Базис поставки</t>
        </is>
      </c>
      <c r="D2" s="2" t="inlineStr">
        <is>
          <t>Валюта КП</t>
        </is>
      </c>
      <c r="E2" s="2" t="inlineStr">
        <is>
          <t>Срок поставки (дней)</t>
        </is>
      </c>
      <c r="F2" s="2" t="inlineStr">
        <is>
          <t>Аванс поставщику (%)</t>
        </is>
      </c>
    </row>
    <row r="3">
      <c r="A3" s="3" t="inlineStr">
        <is>
          <t>МАСТЕР БЭРИНГ ООО</t>
        </is>
      </c>
      <c r="B3" s="3" t="inlineStr">
        <is>
          <t>поставка</t>
        </is>
      </c>
      <c r="C3" s="3" t="inlineStr">
        <is>
          <t>DDP</t>
        </is>
      </c>
      <c r="D3" s="3" t="inlineStr">
        <is>
          <t>EUR</t>
        </is>
      </c>
      <c r="E3" s="3" t="n">
        <v>30</v>
      </c>
      <c r="F3" s="3" t="n">
        <v>100</v>
      </c>
    </row>
    <row r="5">
      <c r="A5" s="1" t="inlineStr">
        <is>
          <t>УСЛОВИЯ ОПЛАТЫ</t>
        </is>
      </c>
    </row>
    <row r="6">
      <c r="A6" s="2" t="inlineStr"/>
      <c r="B6" s="2" t="inlineStr">
        <is>
          <t>Аванс от клиента</t>
        </is>
      </c>
      <c r="C6" s="2" t="inlineStr">
        <is>
          <t>При заборе груза</t>
        </is>
      </c>
      <c r="D6" s="2" t="inlineStr">
        <is>
          <t>При отправке в РФ</t>
        </is>
      </c>
      <c r="E6" s="2" t="inlineStr">
        <is>
          <t>При таможне</t>
        </is>
      </c>
      <c r="F6" s="2" t="inlineStr">
        <is>
          <t>При получении</t>
        </is>
      </c>
    </row>
    <row r="7">
      <c r="A7" s="2" t="inlineStr">
        <is>
          <t>%</t>
        </is>
      </c>
      <c r="B7" s="3" t="n">
        <v>30</v>
      </c>
      <c r="C7" s="3" t="n">
        <v>0</v>
      </c>
      <c r="D7" s="3" t="n">
        <v>0</v>
      </c>
      <c r="E7" s="3" t="n">
        <v>0</v>
      </c>
      <c r="F7" s="4">
        <f>100-SUM(B7:E7)</f>
        <v/>
      </c>
    </row>
    <row r="8">
      <c r="A8" s="2" t="inlineStr">
        <is>
          <t>Дней</t>
        </is>
      </c>
      <c r="B8" s="3" t="n">
        <v>0</v>
      </c>
      <c r="C8" s="3" t="inlineStr"/>
      <c r="D8" s="3" t="inlineStr"/>
      <c r="E8" s="3" t="inlineStr"/>
      <c r="F8" s="3" t="n">
        <v>10</v>
      </c>
    </row>
    <row r="10">
      <c r="A10" s="1" t="inlineStr">
        <is>
          <t>ЛОГИСТИКА</t>
        </is>
      </c>
    </row>
    <row r="11">
      <c r="A11" s="2" t="inlineStr"/>
      <c r="B11" s="2" t="inlineStr">
        <is>
          <t>"ОТКУДА" - Турция</t>
        </is>
      </c>
      <c r="C11" s="2" t="inlineStr">
        <is>
          <t>Турция - РФ (граница)</t>
        </is>
      </c>
      <c r="D11" s="2" t="inlineStr">
        <is>
          <t>РФ (граница) - "КУДА"</t>
        </is>
      </c>
    </row>
    <row r="12">
      <c r="A12" s="2" t="inlineStr">
        <is>
          <t>Сумма</t>
        </is>
      </c>
      <c r="B12" s="3" t="n">
        <v>1500</v>
      </c>
      <c r="C12" s="3" t="n">
        <v>800</v>
      </c>
      <c r="D12" s="3" t="n">
        <v>500</v>
      </c>
    </row>
    <row r="13">
      <c r="A13" s="2" t="inlineStr">
        <is>
          <t>Валюта</t>
        </is>
      </c>
      <c r="B13" s="3" t="inlineStr">
        <is>
          <t>EUR</t>
        </is>
      </c>
      <c r="C13" s="3" t="inlineStr">
        <is>
          <t>EUR</t>
        </is>
      </c>
      <c r="D13" s="3" t="inlineStr">
        <is>
          <t>RUB</t>
        </is>
      </c>
    </row>
    <row r="15">
      <c r="A15" s="1" t="inlineStr">
        <is>
          <t>БРОКЕРСКИЕ УСЛУГИ И ПРОЧЕЕ</t>
        </is>
      </c>
    </row>
    <row r="16">
      <c r="A16" s="2" t="inlineStr"/>
      <c r="B16" s="2" t="inlineStr">
        <is>
          <t>Брокерские: Хаб</t>
        </is>
      </c>
      <c r="C16" s="2" t="inlineStr">
        <is>
          <t>Брокерские: Таможня РФ</t>
        </is>
      </c>
      <c r="D16" s="2" t="inlineStr">
        <is>
          <t>Расходы на СВХ</t>
        </is>
      </c>
      <c r="E16" s="2" t="inlineStr">
        <is>
          <t>Разреш. документы</t>
        </is>
      </c>
      <c r="F16" s="2" t="inlineStr">
        <is>
          <t>Прочее</t>
        </is>
      </c>
    </row>
    <row r="17">
      <c r="A17" s="2" t="inlineStr">
        <is>
          <t>Сумма</t>
        </is>
      </c>
      <c r="B17" s="3" t="n">
        <v>100</v>
      </c>
      <c r="C17" s="3" t="n">
        <v>200</v>
      </c>
      <c r="D17" s="3" t="n">
        <v>300</v>
      </c>
      <c r="E17" s="3" t="n">
        <v>400</v>
      </c>
      <c r="F17" s="3" t="n">
        <v>500</v>
      </c>
    </row>
    <row r="18">
      <c r="A18" s="2" t="inlineStr">
        <is>
          <t>Валюта</t>
        </is>
      </c>
      <c r="B18" s="3" t="inlineStr">
        <is>
          <t>EUR</t>
        </is>
      </c>
      <c r="C18" s="3" t="inlineStr">
        <is>
          <t>RUB</t>
        </is>
      </c>
      <c r="D18" s="3" t="inlineStr">
        <is>
          <t>RUB</t>
        </is>
      </c>
      <c r="E18" s="3" t="inlineStr">
        <is>
          <t>RUB</t>
        </is>
      </c>
      <c r="F18" s="3" t="inlineStr">
        <is>
          <t>RUB</t>
        </is>
      </c>
    </row>
    <row r="20">
      <c r="A20" s="1" t="inlineStr">
        <is>
          <t>ВОЗНАГРАЖДЕНИЕ ЛПР</t>
        </is>
      </c>
    </row>
    <row r="21">
      <c r="A21" s="2" t="inlineStr">
        <is>
          <t>Тип вознаграждения</t>
        </is>
      </c>
      <c r="B21" s="2" t="inlineStr">
        <is>
          <t>Значение</t>
        </is>
      </c>
    </row>
    <row r="22">
      <c r="A22" s="3" t="inlineStr">
        <is>
          <t>% от суммы</t>
        </is>
      </c>
      <c r="B22" s="3" t="n">
        <v>0</v>
      </c>
    </row>
    <row r="24">
      <c r="A24" s="1" t="inlineStr">
        <is>
          <t>ТОВАРЫ</t>
        </is>
      </c>
    </row>
    <row r="25">
      <c r="A25" s="2" t="inlineStr">
        <is>
          <t>Бренд</t>
        </is>
      </c>
      <c r="B25" s="2" t="inlineStr">
        <is>
          <t>Артикул</t>
        </is>
      </c>
      <c r="C25" s="2" t="inlineStr">
        <is>
          <t>Название товара</t>
        </is>
      </c>
      <c r="D25" s="2" t="inlineStr">
        <is>
          <t>Кол-во</t>
        </is>
      </c>
      <c r="E25" s="2" t="inlineStr">
        <is>
          <t>Вес, кг</t>
        </is>
      </c>
      <c r="F25" s="2" t="inlineStr">
        <is>
          <t>Валюта закупки</t>
        </is>
      </c>
      <c r="G25" s="2" t="inlineStr">
        <is>
          <t>Цена закупки (с VAT)</t>
        </is>
      </c>
      <c r="H25" s="2" t="inlineStr">
        <is>
          <t>Страна закупки</t>
        </is>
      </c>
      <c r="I25" s="2" t="inlineStr">
        <is>
          <t>Скидка поставщика (%)</t>
        </is>
      </c>
      <c r="J25" s="2" t="inlineStr">
        <is>
          <t>Код ТН ВЭД</t>
        </is>
      </c>
      <c r="K25" s="2" t="inlineStr">
        <is>
          <t>Пошлина (%)</t>
        </is>
      </c>
      <c r="L25" s="2" t="inlineStr">
        <is>
          <t>Наценка (%)</t>
        </is>
      </c>
    </row>
    <row r="26">
      <c r="A26" s="3" t="inlineStr">
        <is>
          <t>Komatsu</t>
        </is>
      </c>
      <c r="B26" s="3" t="inlineStr">
        <is>
          <t>195-03-51110</t>
        </is>
      </c>
      <c r="C26" s="3" t="inlineStr">
        <is>
          <t>Фильтр</t>
        </is>
      </c>
      <c r="D26" s="3" t="n">
        <v>1</v>
      </c>
      <c r="E26" s="3" t="n">
        <v>2.5</v>
      </c>
      <c r="F26" s="3" t="inlineStr">
        <is>
          <t>TRY</t>
        </is>
      </c>
      <c r="G26" s="3" t="n">
        <v>100000</v>
      </c>
      <c r="H26" s="3" t="inlineStr">
        <is>
          <t>Турция</t>
        </is>
      </c>
      <c r="I26" s="3" t="n">
        <v>0</v>
      </c>
      <c r="J26" s="3" t="n">
        <v>8708913509</v>
      </c>
      <c r="K26" s="3" t="n">
        <v>5</v>
      </c>
      <c r="L26" s="3" t="n">
        <v>15</v>
      </c>
    </row>
    <row r="27">
      <c r="A27" s="3" t="inlineStr">
        <is>
          <t>Komatsu</t>
        </is>
      </c>
      <c r="B27" s="3" t="inlineStr">
        <is>
          <t>6245-31-1100</t>
        </is>
      </c>
      <c r="C27" s="3" t="inlineStr">
        <is>
          <t>Насос</t>
        </is>
      </c>
      <c r="D27" s="3" t="n">
        <v>1</v>
      </c>
      <c r="E27" s="3" t="n">
        <v>15</v>
      </c>
      <c r="F27" s="3" t="inlineStr">
        <is>
          <t>USD</t>
        </is>
      </c>
      <c r="G27" s="3" t="n">
        <v>100000</v>
      </c>
      <c r="H27" s="3" t="inlineStr">
        <is>
          <t>ЕС</t>
        </is>
      </c>
      <c r="I27" s="3" t="n">
        <v>0</v>
      </c>
      <c r="J27" s="3" t="n">
        <v>8409990009</v>
      </c>
      <c r="K27" s="3" t="n">
        <v>5</v>
      </c>
      <c r="L27" s="3" t="n">
        <v>15</v>
      </c>
    </row>
    <row r="28">
      <c r="A28" s="3" t="inlineStr">
        <is>
          <t>Komatsu</t>
        </is>
      </c>
      <c r="B28" s="3" t="inlineStr">
        <is>
          <t>6162-33-1202</t>
        </is>
      </c>
      <c r="C28" s="3" t="inlineStr">
        <is>
          <t>Двигатель</t>
        </is>
      </c>
      <c r="D28" s="3" t="n">
        <v>1</v>
      </c>
      <c r="E28" s="3" t="n">
        <v>120</v>
      </c>
      <c r="F28" s="3" t="inlineStr">
        <is>
          <t>EUR</t>
        </is>
      </c>
      <c r="G28" s="3" t="n">
        <v>100000</v>
      </c>
      <c r="H28" s="3" t="inlineStr">
        <is>
          <t>Болгария</t>
        </is>
      </c>
      <c r="I28" s="3" t="n">
        <v>0</v>
      </c>
      <c r="J28" s="3" t="n">
        <v>8409990009</v>
      </c>
      <c r="K28" s="3" t="n">
        <v>5</v>
      </c>
      <c r="L28" s="3" t="n">
        <v>15</v>
      </c>
    </row>
    <row r="29">
      <c r="A29" s="3" t="inlineStr">
        <is>
          <t>Komatsu</t>
        </is>
      </c>
      <c r="B29" s="3" t="inlineStr">
        <is>
          <t>195-03-43100</t>
        </is>
      </c>
      <c r="C29" s="3" t="inlineStr">
        <is>
          <t>Поршень</t>
        </is>
      </c>
      <c r="D29" s="3" t="n">
        <v>1</v>
      </c>
      <c r="E29" s="3" t="n">
        <v>8</v>
      </c>
      <c r="F29" s="3" t="inlineStr">
        <is>
          <t>CNY</t>
        </is>
      </c>
      <c r="G29" s="3" t="n">
        <v>100000</v>
      </c>
      <c r="H29" s="3" t="inlineStr">
        <is>
          <t>Китай</t>
        </is>
      </c>
      <c r="I29" s="3" t="n">
        <v>0</v>
      </c>
      <c r="J29" s="3" t="n">
        <v>8708913509</v>
      </c>
      <c r="K29" s="3" t="n">
        <v>5</v>
      </c>
      <c r="L29" s="3" t="n">
        <v>15</v>
      </c>
    </row>
    <row r="30">
      <c r="A30" s="3" t="inlineStr">
        <is>
          <t>Komatsu</t>
        </is>
      </c>
      <c r="B30" s="3" t="inlineStr">
        <is>
          <t>600-614-5351</t>
        </is>
      </c>
      <c r="C30" s="3" t="inlineStr">
        <is>
          <t>Компрессор</t>
        </is>
      </c>
      <c r="D30" s="3" t="n">
        <v>1</v>
      </c>
      <c r="E30" s="3" t="n">
        <v>5</v>
      </c>
      <c r="F30" s="3" t="inlineStr">
        <is>
          <t>RUB</t>
        </is>
      </c>
      <c r="G30" s="3" t="n">
        <v>100000</v>
      </c>
      <c r="H30" s="3" t="inlineStr">
        <is>
          <t>Россия</t>
        </is>
      </c>
      <c r="I30" s="3" t="n">
        <v>0</v>
      </c>
      <c r="J30" s="3" t="n">
        <v>8414900000</v>
      </c>
      <c r="K30" s="3" t="n">
        <v>0</v>
      </c>
      <c r="L30" s="3" t="n">
        <v>15</v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</sheetData>
  <mergeCells count="6">
    <mergeCell ref="A20:L20"/>
    <mergeCell ref="A24:L24"/>
    <mergeCell ref="A15:L15"/>
    <mergeCell ref="A10:L10"/>
    <mergeCell ref="A1:L1"/>
    <mergeCell ref="A5:L5"/>
  </mergeCells>
  <dataValidations count="7">
    <dataValidation sqref="B13 B18 C13 C18 D13 D18 E18 F18 F26 F27 F28 F29 F30 F31 F32 F33 F34 F35 F36 F37 F38 F39 F40" showDropDown="0" showInputMessage="0" showErrorMessage="0" allowBlank="1" type="list">
      <formula1>"USD,EUR,TRY,CNY,RUB"</formula1>
    </dataValidation>
    <dataValidation sqref="A3" showDropDown="0" showInputMessage="0" showErrorMessage="0" allowBlank="0" type="list">
      <formula1>"МАСТЕР БЭРИНГ ООО,МАСТЕР БЭРИНГ СЭЙЛЗ ООО"</formula1>
    </dataValidation>
    <dataValidation sqref="B3" showDropDown="0" showInputMessage="0" showErrorMessage="0" allowBlank="0" type="list">
      <formula1>"поставка,комиссия"</formula1>
    </dataValidation>
    <dataValidation sqref="C3" showDropDown="0" showInputMessage="0" showErrorMessage="0" allowBlank="0" type="list">
      <formula1>"DDP,EXW,DAP,FCA,CIF,FOB"</formula1>
    </dataValidation>
    <dataValidation sqref="D3" showDropDown="0" showInputMessage="0" showErrorMessage="0" allowBlank="0" type="list">
      <formula1>"USD,EUR,TRY,CNY,RUB"</formula1>
    </dataValidation>
    <dataValidation sqref="A22" showDropDown="0" showInputMessage="0" showErrorMessage="0" allowBlank="0" type="list">
      <formula1>"% от суммы,фикс. сумма"</formula1>
    </dataValidation>
    <dataValidation sqref="H26 H27 H28 H29 H30 H31 H32 H33 H34 H35 H36 H37 H38 H39 H40" showDropDown="0" showInputMessage="0" showErrorMessage="0" allowBlank="0" type="list">
      <formula1>"Турция,ЕС,Болгария,Китай,Россия,США,Япония,Корея"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2025-11-28T13:39:52Z</dcterms:created>
  <dcterms:modified xsi:type="dcterms:W3CDTF">2025-11-28T13:39:52Z</dcterms:modified>
</cp:coreProperties>
</file>