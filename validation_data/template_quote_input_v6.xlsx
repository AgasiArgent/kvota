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novi\workspace\tech\projects\kvota\user-feedback\validation_data\"/>
    </mc:Choice>
  </mc:AlternateContent>
  <xr:revisionPtr revIDLastSave="0" documentId="13_ncr:1_{50DF14A5-4E02-4294-8446-CF8883FEACCC}" xr6:coauthVersionLast="47" xr6:coauthVersionMax="47" xr10:uidLastSave="{00000000-0000-0000-0000-000000000000}"/>
  <bookViews>
    <workbookView xWindow="1170" yWindow="1170" windowWidth="27105" windowHeight="14820" xr2:uid="{00000000-000D-0000-FFFF-FFFF00000000}"/>
  </bookViews>
  <sheets>
    <sheet name="Котировк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<sst xmlns="http://schemas.openxmlformats.org/spreadsheetml/2006/main" count="87" uniqueCount="69">
  <si>
    <t>НАСТРОЙКИ КОТИРОВКИ</t>
  </si>
  <si>
    <t>УСЛОВИЯ ОПЛАТЫ</t>
  </si>
  <si>
    <t>ЛОГИСТИКА</t>
  </si>
  <si>
    <t>Компания-продавец</t>
  </si>
  <si>
    <t>МАСТЕР БЭРИНГ ООО</t>
  </si>
  <si>
    <t>Этап</t>
  </si>
  <si>
    <t>%</t>
  </si>
  <si>
    <t>Дней</t>
  </si>
  <si>
    <t>Статья</t>
  </si>
  <si>
    <t>Сумма</t>
  </si>
  <si>
    <t>Валюта</t>
  </si>
  <si>
    <t>Вид КП</t>
  </si>
  <si>
    <t>поставка</t>
  </si>
  <si>
    <t>Аванс от клиента</t>
  </si>
  <si>
    <t>"ОТКУДА"</t>
  </si>
  <si>
    <t>EUR</t>
  </si>
  <si>
    <t>Базис поставки</t>
  </si>
  <si>
    <t>DDP</t>
  </si>
  <si>
    <t>При заборе груза</t>
  </si>
  <si>
    <t>Турция - РФ</t>
  </si>
  <si>
    <t>Валюта КП</t>
  </si>
  <si>
    <t>При отправке в РФ</t>
  </si>
  <si>
    <t>РФ (граница)</t>
  </si>
  <si>
    <t>RUB</t>
  </si>
  <si>
    <t>Срок поставки (дней)</t>
  </si>
  <si>
    <t>При таможне</t>
  </si>
  <si>
    <t>БРОКЕРСКИЕ УСЛУГИ</t>
  </si>
  <si>
    <t>Аванс поставщику (%)</t>
  </si>
  <si>
    <t>При получении</t>
  </si>
  <si>
    <t>Брокерские: Хаб</t>
  </si>
  <si>
    <t>Брокерские: Таможня РФ</t>
  </si>
  <si>
    <t>ВОЗНАГРАЖДЕНИЕ ЛПР</t>
  </si>
  <si>
    <t>Расходы на СВХ</t>
  </si>
  <si>
    <t>Тип</t>
  </si>
  <si>
    <t>Фикс</t>
  </si>
  <si>
    <t>Разреш. документы</t>
  </si>
  <si>
    <t>Значение</t>
  </si>
  <si>
    <t>Прочее</t>
  </si>
  <si>
    <t>ТОВАРЫ</t>
  </si>
  <si>
    <t>Бренд</t>
  </si>
  <si>
    <t>Артикул</t>
  </si>
  <si>
    <t>Название товара</t>
  </si>
  <si>
    <t>Кол-во</t>
  </si>
  <si>
    <t>Вес, кг</t>
  </si>
  <si>
    <t>Цена закупки (с VAT)</t>
  </si>
  <si>
    <t>Страна закупки</t>
  </si>
  <si>
    <t>Скидка пост. (%)</t>
  </si>
  <si>
    <t>Код ТН ВЭД</t>
  </si>
  <si>
    <t>Пошлина (%)</t>
  </si>
  <si>
    <t>Наценка (%)</t>
  </si>
  <si>
    <t>Komatsu</t>
  </si>
  <si>
    <t>195-03-51110</t>
  </si>
  <si>
    <t>Фильтр</t>
  </si>
  <si>
    <t>TRY</t>
  </si>
  <si>
    <t>Турция</t>
  </si>
  <si>
    <t>6245-31-1100</t>
  </si>
  <si>
    <t>Насос</t>
  </si>
  <si>
    <t>USD</t>
  </si>
  <si>
    <t>ЕС (закупка между странами ЕС)</t>
  </si>
  <si>
    <t>6162-33-1202</t>
  </si>
  <si>
    <t>Двигатель</t>
  </si>
  <si>
    <t>Болгария</t>
  </si>
  <si>
    <t>195-03-43100</t>
  </si>
  <si>
    <t>Поршень</t>
  </si>
  <si>
    <t>CNY</t>
  </si>
  <si>
    <t>Китай</t>
  </si>
  <si>
    <t>600-614-5351</t>
  </si>
  <si>
    <t>Компрессор</t>
  </si>
  <si>
    <t>Россия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</si>
</sst>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G24" sqref="G24"/>
    </sheetView>
  </sheetViews>
  <sheetFormatPr defaultRowHeight="15" x14ac:dyDescent="0.25"/>
  <cols>
    <col min="1" max="1" width="18" customWidth="1"/>
    <col min="2" max="2" width="16" customWidth="1"/>
    <col min="3" max="4" width="18" customWidth="1"/>
    <col min="5" max="5" width="8" customWidth="1"/>
    <col min="6" max="6" width="10" customWidth="1"/>
    <col min="7" max="7" width="20" customWidth="1"/>
    <col min="8" max="8" width="22" customWidth="1"/>
    <col min="9" max="10" width="14" customWidth="1"/>
    <col min="11" max="12" width="12" customWidth="1"/>
  </cols>
  <sheetData>
    <row r="1" spans="1:12" x14ac:dyDescent="0.25">
      <c r="A1" s="4" t="s">
        <v>0</v>
      </c>
      <c r="B1" s="6"/>
      <c r="D1" s="4" t="s">
        <v>1</v>
      </c>
      <c r="E1" s="5"/>
      <c r="F1" s="6"/>
      <c r="H1" s="4" t="s">
        <v>2</v>
      </c>
      <c r="I1" s="5"/>
      <c r="J1" s="6"/>
    </row>
    <row r="2" spans="1:12" x14ac:dyDescent="0.25">
      <c r="A2" s="1" t="s">
        <v>3</v>
      </c>
      <c r="B2" s="2" t="s">
        <v>4</v>
      </c>
      <c r="D2" s="3" t="s">
        <v>5</v>
      </c>
      <c r="E2" s="3" t="s">
        <v>6</v>
      </c>
      <c r="F2" s="3" t="s">
        <v>7</v>
      </c>
      <c r="H2" s="3" t="s">
        <v>8</v>
      </c>
      <c r="I2" s="3" t="s">
        <v>9</v>
      </c>
      <c r="J2" s="3" t="s">
        <v>10</v>
      </c>
    </row>
    <row r="3" spans="1:12" x14ac:dyDescent="0.25">
      <c r="A3" s="1" t="s">
        <v>11</v>
      </c>
      <c r="B3" s="2" t="s">
        <v>12</v>
      </c>
      <c r="D3" s="1" t="s">
        <v>13</v>
      </c>
      <c r="E3" s="2">
        <v>30</v>
      </c>
      <c r="F3" s="2">
        <v>0</v>
      </c>
      <c r="H3" s="1" t="s">
        <v>14</v>
      </c>
      <c r="I3" s="2">
        <v>1500</v>
      </c>
      <c r="J3" s="2" t="s">
        <v>15</v>
      </c>
    </row>
    <row r="4" spans="1:12" x14ac:dyDescent="0.25">
      <c r="A4" s="1" t="s">
        <v>16</v>
      </c>
      <c r="B4" s="2" t="s">
        <v>17</v>
      </c>
      <c r="D4" s="1" t="s">
        <v>18</v>
      </c>
      <c r="E4" s="2">
        <v>0</v>
      </c>
      <c r="F4" s="2"/>
      <c r="H4" s="1" t="s">
        <v>19</v>
      </c>
      <c r="I4" s="2">
        <v>800</v>
      </c>
      <c r="J4" s="2" t="s">
        <v>15</v>
      </c>
    </row>
    <row r="5" spans="1:12" x14ac:dyDescent="0.25">
      <c r="A5" s="1" t="s">
        <v>20</v>
      </c>
      <c r="B5" s="2" t="s">
        <v>15</v>
      </c>
      <c r="D5" s="1" t="s">
        <v>21</v>
      </c>
      <c r="E5" s="2">
        <v>0</v>
      </c>
      <c r="F5" s="2"/>
      <c r="H5" s="1" t="s">
        <v>22</v>
      </c>
      <c r="I5" s="2">
        <v>500</v>
      </c>
      <c r="J5" s="2" t="s">
        <v>23</v>
      </c>
    </row>
    <row r="6" spans="1:12" x14ac:dyDescent="0.25">
      <c r="A6" s="1" t="s">
        <v>24</v>
      </c>
      <c r="B6" s="2">
        <v>30</v>
      </c>
      <c r="D6" s="1" t="s">
        <v>25</v>
      </c>
      <c r="E6" s="2">
        <v>0</v>
      </c>
      <c r="F6" s="2"/>
      <c r="H6" s="4" t="s">
        <v>26</v>
      </c>
      <c r="I6" s="5"/>
      <c r="J6" s="6"/>
    </row>
    <row r="7" spans="1:12" x14ac:dyDescent="0.25">
      <c r="A7" s="1" t="s">
        <v>27</v>
      </c>
      <c r="B7" s="2">
        <v>100</v>
      </c>
      <c r="D7" s="1" t="s">
        <v>28</v>
      </c>
      <c r="E7" s="2">
        <f>100-SUM(E3:E6)</f>
        <v>70</v>
      </c>
      <c r="F7" s="2">
        <v>10</v>
      </c>
      <c r="H7" s="3" t="s">
        <v>8</v>
      </c>
      <c r="I7" s="3" t="s">
        <v>9</v>
      </c>
      <c r="J7" s="3" t="s">
        <v>10</v>
      </c>
    </row>
    <row r="8" spans="1:12" x14ac:dyDescent="0.25">
      <c r="H8" s="1" t="s">
        <v>29</v>
      </c>
      <c r="I8" s="2">
        <v>100</v>
      </c>
      <c r="J8" s="2" t="s">
        <v>15</v>
      </c>
    </row>
    <row r="9" spans="1:12" x14ac:dyDescent="0.25">
      <c r="H9" s="1" t="s">
        <v>30</v>
      </c>
      <c r="I9" s="2">
        <v>200</v>
      </c>
      <c r="J9" s="2" t="s">
        <v>23</v>
      </c>
    </row>
    <row r="10" spans="1:12" x14ac:dyDescent="0.25">
      <c r="D10" s="4" t="s">
        <v>31</v>
      </c>
      <c r="E10" s="5"/>
      <c r="F10" s="6"/>
      <c r="H10" s="1" t="s">
        <v>32</v>
      </c>
      <c r="I10" s="2">
        <v>300</v>
      </c>
      <c r="J10" s="2" t="s">
        <v>23</v>
      </c>
    </row>
    <row r="11" spans="1:12" x14ac:dyDescent="0.25">
      <c r="D11" s="1" t="s">
        <v>33</v>
      </c>
      <c r="E11" s="7" t="s">
        <v>34</v>
      </c>
      <c r="F11" s="6"/>
      <c r="H11" s="1" t="s">
        <v>35</v>
      </c>
      <c r="I11" s="2">
        <v>400</v>
      </c>
      <c r="J11" s="2" t="s">
        <v>23</v>
      </c>
    </row>
    <row r="12" spans="1:12" x14ac:dyDescent="0.25">
      <c r="D12" s="1" t="s">
        <v>36</v>
      </c>
      <c r="E12" s="2">
        <v>0</v>
      </c>
      <c r="F12" s="2" t="s">
        <v>15</v>
      </c>
      <c r="H12" s="1" t="s">
        <v>37</v>
      </c>
      <c r="I12" s="2">
        <v>500</v>
      </c>
      <c r="J12" s="2" t="s">
        <v>23</v>
      </c>
    </row>
    <row r="14" spans="1:12" x14ac:dyDescent="0.25">
      <c r="A14" s="4" t="s">
        <v>38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 spans="1:12" x14ac:dyDescent="0.25">
      <c r="A15" s="3" t="s">
        <v>39</v>
      </c>
      <c r="B15" s="3" t="s">
        <v>40</v>
      </c>
      <c r="C15" s="3" t="s">
        <v>41</v>
      </c>
      <c r="D15" s="3" t="s">
        <v>42</v>
      </c>
      <c r="E15" s="3" t="s">
        <v>43</v>
      </c>
      <c r="F15" s="3" t="s">
        <v>10</v>
      </c>
      <c r="G15" s="3" t="s">
        <v>44</v>
      </c>
      <c r="H15" s="3" t="s">
        <v>45</v>
      </c>
      <c r="I15" s="3" t="s">
        <v>46</v>
      </c>
      <c r="J15" s="3" t="s">
        <v>47</v>
      </c>
      <c r="K15" s="3" t="s">
        <v>48</v>
      </c>
      <c r="L15" s="3" t="s">
        <v>49</v>
      </c>
    </row>
    <row r="16" spans="1:12" x14ac:dyDescent="0.25">
      <c r="A16" s="2" t="s">
        <v>50</v>
      </c>
      <c r="B16" s="2" t="s">
        <v>51</v>
      </c>
      <c r="C16" s="2" t="s">
        <v>52</v>
      </c>
      <c r="D16" s="2">
        <v>1</v>
      </c>
      <c r="E16" s="2"/>
      <c r="F16" s="2" t="s">
        <v>53</v>
      </c>
      <c r="G16" s="2">
        <v>100000</v>
      </c>
      <c r="H16" s="2" t="s">
        <v>54</v>
      </c>
      <c r="I16" s="2">
        <v>0</v>
      </c>
      <c r="J16" s="2">
        <v>8708913509</v>
      </c>
      <c r="K16" s="2">
        <v>5</v>
      </c>
      <c r="L16" s="2">
        <v>15</v>
      </c>
    </row>
    <row r="17" spans="1:12" x14ac:dyDescent="0.25">
      <c r="A17" s="2" t="s">
        <v>50</v>
      </c>
      <c r="B17" s="2" t="s">
        <v>55</v>
      </c>
      <c r="C17" s="2" t="s">
        <v>56</v>
      </c>
      <c r="D17" s="2">
        <v>1</v>
      </c>
      <c r="E17" s="2"/>
      <c r="F17" s="2" t="s">
        <v>57</v>
      </c>
      <c r="G17" s="2">
        <v>100000</v>
      </c>
      <c r="H17" s="2" t="s">
        <v>58</v>
      </c>
      <c r="I17" s="2">
        <v>0</v>
      </c>
      <c r="J17" s="2">
        <v>8409990009</v>
      </c>
      <c r="K17" s="2">
        <v>5</v>
      </c>
      <c r="L17" s="2">
        <v>15</v>
      </c>
    </row>
    <row r="18" spans="1:12" x14ac:dyDescent="0.25">
      <c r="A18" s="2" t="s">
        <v>50</v>
      </c>
      <c r="B18" s="2" t="s">
        <v>59</v>
      </c>
      <c r="C18" s="2" t="s">
        <v>60</v>
      </c>
      <c r="D18" s="2">
        <v>1</v>
      </c>
      <c r="E18" s="2"/>
      <c r="F18" s="2" t="s">
        <v>15</v>
      </c>
      <c r="G18" s="2">
        <v>100000</v>
      </c>
      <c r="H18" s="2" t="s">
        <v>61</v>
      </c>
      <c r="I18" s="2">
        <v>0</v>
      </c>
      <c r="J18" s="2">
        <v>8409990009</v>
      </c>
      <c r="K18" s="2">
        <v>5</v>
      </c>
      <c r="L18" s="2">
        <v>15</v>
      </c>
    </row>
    <row r="19" spans="1:12" x14ac:dyDescent="0.25">
      <c r="A19" s="2" t="s">
        <v>50</v>
      </c>
      <c r="B19" s="2" t="s">
        <v>62</v>
      </c>
      <c r="C19" s="2" t="s">
        <v>63</v>
      </c>
      <c r="D19" s="2">
        <v>1</v>
      </c>
      <c r="E19" s="2"/>
      <c r="F19" s="2" t="s">
        <v>64</v>
      </c>
      <c r="G19" s="2">
        <v>100000</v>
      </c>
      <c r="H19" s="2" t="s">
        <v>65</v>
      </c>
      <c r="I19" s="2">
        <v>0</v>
      </c>
      <c r="J19" s="2">
        <v>8708913509</v>
      </c>
      <c r="K19" s="2">
        <v>5</v>
      </c>
      <c r="L19" s="2">
        <v>15</v>
      </c>
    </row>
    <row r="20" spans="1:12" x14ac:dyDescent="0.25">
      <c r="A20" s="2" t="s">
        <v>50</v>
      </c>
      <c r="B20" s="2" t="s">
        <v>66</v>
      </c>
      <c r="C20" s="2" t="s">
        <v>67</v>
      </c>
      <c r="D20" s="2">
        <v>1</v>
      </c>
      <c r="E20" s="2"/>
      <c r="F20" s="2" t="s">
        <v>23</v>
      </c>
      <c r="G20" s="2">
        <v>100000</v>
      </c>
      <c r="H20" s="2" t="s">
        <v>68</v>
      </c>
      <c r="I20" s="2">
        <v>0</v>
      </c>
      <c r="J20" s="2">
        <v>8414900000</v>
      </c>
      <c r="K20" s="2">
        <v>0</v>
      </c>
      <c r="L20" s="2">
        <v>15</v>
      </c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mergeCells count="7">
    <mergeCell ref="H1:J1"/>
    <mergeCell ref="H6:J6"/>
    <mergeCell ref="E11:F11"/>
    <mergeCell ref="A14:L14"/>
    <mergeCell ref="A1:B1"/>
    <mergeCell ref="D1:F1"/>
    <mergeCell ref="D10:F10"/>
  </mergeCells>
  <dataValidations count="1">
    <dataValidation type="list" errorTitle="Неверный тип" error="Выберите тип из списка" promptTitle="Тип" prompt="Выберите тип вознаграждения" sqref="E11" xr:uid="{00000000-0002-0000-0000-000000000000}">
      <formula1>"Фикс,комиссия %"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Котировка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Novikov</cp:lastModifiedBy>
  <dcterms:created xsi:type="dcterms:W3CDTF">2025-11-28T13:56:42Z</dcterms:created>
  <dcterms:modified xsi:type="dcterms:W3CDTF">2025-11-29T14:59:30Z</dcterms:modified>
</cp:coreProperties>
</file>