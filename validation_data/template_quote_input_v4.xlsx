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тиров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8" customWidth="1" min="4" max="4"/>
    <col width="8" customWidth="1" min="5" max="5"/>
    <col width="10" customWidth="1" min="6" max="6"/>
    <col width="20" customWidth="1" min="7" max="7"/>
    <col width="22" customWidth="1" min="8" max="8"/>
    <col width="14" customWidth="1" min="9" max="9"/>
    <col width="14" customWidth="1" min="10" max="10"/>
    <col width="12" customWidth="1" min="11" max="11"/>
    <col width="12" customWidth="1" min="12" max="12"/>
  </cols>
  <sheetData>
    <row r="1">
      <c r="A1" s="1" t="inlineStr">
        <is>
          <t>НАСТРОЙКИ КОТИРОВКИ</t>
        </is>
      </c>
      <c r="D1" s="1" t="inlineStr">
        <is>
          <t>УСЛОВИЯ ОПЛАТЫ</t>
        </is>
      </c>
      <c r="H1" s="1" t="inlineStr">
        <is>
          <t>ЛОГИСТИКА</t>
        </is>
      </c>
    </row>
    <row r="2">
      <c r="A2" s="2" t="inlineStr">
        <is>
          <t>Компания-продавец</t>
        </is>
      </c>
      <c r="B2" s="3" t="inlineStr">
        <is>
          <t>МАСТЕР БЭРИНГ ООО</t>
        </is>
      </c>
      <c r="D2" s="4" t="inlineStr">
        <is>
          <t>Этап</t>
        </is>
      </c>
      <c r="E2" s="4" t="inlineStr">
        <is>
          <t>%</t>
        </is>
      </c>
      <c r="F2" s="4" t="inlineStr">
        <is>
          <t>Дней</t>
        </is>
      </c>
      <c r="H2" s="4" t="inlineStr">
        <is>
          <t>Статья</t>
        </is>
      </c>
      <c r="I2" s="4" t="inlineStr">
        <is>
          <t>Сумма</t>
        </is>
      </c>
      <c r="J2" s="4" t="inlineStr">
        <is>
          <t>Валюта</t>
        </is>
      </c>
    </row>
    <row r="3">
      <c r="A3" s="2" t="inlineStr">
        <is>
          <t>Вид КП</t>
        </is>
      </c>
      <c r="B3" s="3" t="inlineStr">
        <is>
          <t>поставка</t>
        </is>
      </c>
      <c r="D3" s="2" t="inlineStr">
        <is>
          <t>Аванс от клиента</t>
        </is>
      </c>
      <c r="E3" s="3" t="n">
        <v>30</v>
      </c>
      <c r="F3" s="3" t="n">
        <v>0</v>
      </c>
      <c r="H3" s="2" t="inlineStr">
        <is>
          <t>"ОТКУДА"</t>
        </is>
      </c>
      <c r="I3" s="3" t="n">
        <v>1500</v>
      </c>
      <c r="J3" s="3" t="inlineStr">
        <is>
          <t>EUR</t>
        </is>
      </c>
    </row>
    <row r="4">
      <c r="A4" s="2" t="inlineStr">
        <is>
          <t>Базис поставки</t>
        </is>
      </c>
      <c r="B4" s="3" t="inlineStr">
        <is>
          <t>DDP</t>
        </is>
      </c>
      <c r="D4" s="2" t="inlineStr">
        <is>
          <t>При заборе груза</t>
        </is>
      </c>
      <c r="E4" s="3" t="n">
        <v>0</v>
      </c>
      <c r="F4" s="3" t="inlineStr"/>
      <c r="H4" s="2" t="inlineStr">
        <is>
          <t>Турция - РФ</t>
        </is>
      </c>
      <c r="I4" s="3" t="n">
        <v>800</v>
      </c>
      <c r="J4" s="3" t="inlineStr">
        <is>
          <t>EUR</t>
        </is>
      </c>
    </row>
    <row r="5">
      <c r="A5" s="2" t="inlineStr">
        <is>
          <t>Валюта КП</t>
        </is>
      </c>
      <c r="B5" s="3" t="inlineStr">
        <is>
          <t>EUR</t>
        </is>
      </c>
      <c r="D5" s="2" t="inlineStr">
        <is>
          <t>При отправке в РФ</t>
        </is>
      </c>
      <c r="E5" s="3" t="n">
        <v>0</v>
      </c>
      <c r="F5" s="3" t="inlineStr"/>
      <c r="H5" s="2" t="inlineStr">
        <is>
          <t>РФ (граница)</t>
        </is>
      </c>
      <c r="I5" s="3" t="n">
        <v>500</v>
      </c>
      <c r="J5" s="3" t="inlineStr">
        <is>
          <t>RUB</t>
        </is>
      </c>
    </row>
    <row r="6">
      <c r="A6" s="2" t="inlineStr">
        <is>
          <t>Срок поставки (дней)</t>
        </is>
      </c>
      <c r="B6" s="3" t="n">
        <v>30</v>
      </c>
      <c r="D6" s="2" t="inlineStr">
        <is>
          <t>При таможне</t>
        </is>
      </c>
      <c r="E6" s="3" t="n">
        <v>0</v>
      </c>
      <c r="F6" s="3" t="inlineStr"/>
      <c r="H6" s="1" t="inlineStr">
        <is>
          <t>БРОКЕРСКИЕ УСЛУГИ</t>
        </is>
      </c>
    </row>
    <row r="7">
      <c r="A7" s="2" t="inlineStr">
        <is>
          <t>Аванс поставщику (%)</t>
        </is>
      </c>
      <c r="B7" s="3" t="n">
        <v>100</v>
      </c>
      <c r="D7" s="2" t="inlineStr">
        <is>
          <t>При получении</t>
        </is>
      </c>
      <c r="E7" s="3">
        <f>100-SUM(E3:E6)</f>
        <v/>
      </c>
      <c r="F7" s="3" t="n">
        <v>10</v>
      </c>
      <c r="H7" s="4" t="inlineStr">
        <is>
          <t>Статья</t>
        </is>
      </c>
      <c r="I7" s="4" t="inlineStr">
        <is>
          <t>Сумма</t>
        </is>
      </c>
      <c r="J7" s="4" t="inlineStr">
        <is>
          <t>Валюта</t>
        </is>
      </c>
    </row>
    <row r="8">
      <c r="H8" s="2" t="inlineStr">
        <is>
          <t>Брокерские: Хаб</t>
        </is>
      </c>
      <c r="I8" s="3" t="n">
        <v>100</v>
      </c>
      <c r="J8" s="3" t="inlineStr">
        <is>
          <t>EUR</t>
        </is>
      </c>
    </row>
    <row r="9">
      <c r="H9" s="2" t="inlineStr">
        <is>
          <t>Брокерские: Таможня РФ</t>
        </is>
      </c>
      <c r="I9" s="3" t="n">
        <v>200</v>
      </c>
      <c r="J9" s="3" t="inlineStr">
        <is>
          <t>RUB</t>
        </is>
      </c>
    </row>
    <row r="10">
      <c r="D10" s="1" t="inlineStr">
        <is>
          <t>ВОЗНАГРАЖДЕНИЕ ЛПР</t>
        </is>
      </c>
      <c r="H10" s="2" t="inlineStr">
        <is>
          <t>Расходы на СВХ</t>
        </is>
      </c>
      <c r="I10" s="3" t="n">
        <v>300</v>
      </c>
      <c r="J10" s="3" t="inlineStr">
        <is>
          <t>RUB</t>
        </is>
      </c>
    </row>
    <row r="11">
      <c r="D11" s="2" t="inlineStr">
        <is>
          <t>Тип</t>
        </is>
      </c>
      <c r="E11" s="3" t="inlineStr">
        <is>
          <t>% от суммы</t>
        </is>
      </c>
      <c r="F11" s="3" t="inlineStr"/>
      <c r="H11" s="2" t="inlineStr">
        <is>
          <t>Разреш. документы</t>
        </is>
      </c>
      <c r="I11" s="3" t="n">
        <v>400</v>
      </c>
      <c r="J11" s="3" t="inlineStr">
        <is>
          <t>RUB</t>
        </is>
      </c>
    </row>
    <row r="12">
      <c r="D12" s="2" t="inlineStr">
        <is>
          <t>Значение</t>
        </is>
      </c>
      <c r="E12" s="3" t="n">
        <v>0</v>
      </c>
      <c r="F12" s="3" t="inlineStr">
        <is>
          <t>EUR</t>
        </is>
      </c>
      <c r="H12" s="2" t="inlineStr">
        <is>
          <t>Прочее</t>
        </is>
      </c>
      <c r="I12" s="3" t="n">
        <v>500</v>
      </c>
      <c r="J12" s="3" t="inlineStr">
        <is>
          <t>RUB</t>
        </is>
      </c>
    </row>
    <row r="14">
      <c r="A14" s="1" t="inlineStr">
        <is>
          <t>ТОВАРЫ</t>
        </is>
      </c>
    </row>
    <row r="15">
      <c r="A15" s="4" t="inlineStr">
        <is>
          <t>Бренд</t>
        </is>
      </c>
      <c r="B15" s="4" t="inlineStr">
        <is>
          <t>Артикул</t>
        </is>
      </c>
      <c r="C15" s="4" t="inlineStr">
        <is>
          <t>Название товара</t>
        </is>
      </c>
      <c r="D15" s="4" t="inlineStr">
        <is>
          <t>Кол-во</t>
        </is>
      </c>
      <c r="E15" s="4" t="inlineStr">
        <is>
          <t>Вес, кг</t>
        </is>
      </c>
      <c r="F15" s="4" t="inlineStr">
        <is>
          <t>Валюта</t>
        </is>
      </c>
      <c r="G15" s="4" t="inlineStr">
        <is>
          <t>Цена закупки (с VAT)</t>
        </is>
      </c>
      <c r="H15" s="4" t="inlineStr">
        <is>
          <t>Страна закупки</t>
        </is>
      </c>
      <c r="I15" s="4" t="inlineStr">
        <is>
          <t>Скидка пост. (%)</t>
        </is>
      </c>
      <c r="J15" s="4" t="inlineStr">
        <is>
          <t>Код ТН ВЭД</t>
        </is>
      </c>
      <c r="K15" s="4" t="inlineStr">
        <is>
          <t>Пошлина (%)</t>
        </is>
      </c>
      <c r="L15" s="4" t="inlineStr">
        <is>
          <t>Наценка (%)</t>
        </is>
      </c>
    </row>
    <row r="16">
      <c r="A16" s="3" t="inlineStr">
        <is>
          <t>Komatsu</t>
        </is>
      </c>
      <c r="B16" s="3" t="inlineStr">
        <is>
          <t>195-03-51110</t>
        </is>
      </c>
      <c r="C16" s="3" t="inlineStr">
        <is>
          <t>Фильтр</t>
        </is>
      </c>
      <c r="D16" s="3" t="n">
        <v>1</v>
      </c>
      <c r="E16" s="3" t="n">
        <v>2.5</v>
      </c>
      <c r="F16" s="3" t="inlineStr">
        <is>
          <t>TRY</t>
        </is>
      </c>
      <c r="G16" s="3" t="n">
        <v>100000</v>
      </c>
      <c r="H16" s="3" t="inlineStr">
        <is>
          <t>Турция</t>
        </is>
      </c>
      <c r="I16" s="3" t="n">
        <v>0</v>
      </c>
      <c r="J16" s="3" t="n">
        <v>8708913509</v>
      </c>
      <c r="K16" s="3" t="n">
        <v>5</v>
      </c>
      <c r="L16" s="3" t="n">
        <v>15</v>
      </c>
    </row>
    <row r="17">
      <c r="A17" s="3" t="inlineStr">
        <is>
          <t>Komatsu</t>
        </is>
      </c>
      <c r="B17" s="3" t="inlineStr">
        <is>
          <t>6245-31-1100</t>
        </is>
      </c>
      <c r="C17" s="3" t="inlineStr">
        <is>
          <t>Насос</t>
        </is>
      </c>
      <c r="D17" s="3" t="n">
        <v>1</v>
      </c>
      <c r="E17" s="3" t="n">
        <v>15</v>
      </c>
      <c r="F17" s="3" t="inlineStr">
        <is>
          <t>USD</t>
        </is>
      </c>
      <c r="G17" s="3" t="n">
        <v>100000</v>
      </c>
      <c r="H17" s="3" t="inlineStr">
        <is>
          <t>ЕС (закупка между странами ЕС)</t>
        </is>
      </c>
      <c r="I17" s="3" t="n">
        <v>0</v>
      </c>
      <c r="J17" s="3" t="n">
        <v>8409990009</v>
      </c>
      <c r="K17" s="3" t="n">
        <v>5</v>
      </c>
      <c r="L17" s="3" t="n">
        <v>15</v>
      </c>
    </row>
    <row r="18">
      <c r="A18" s="3" t="inlineStr">
        <is>
          <t>Komatsu</t>
        </is>
      </c>
      <c r="B18" s="3" t="inlineStr">
        <is>
          <t>6162-33-1202</t>
        </is>
      </c>
      <c r="C18" s="3" t="inlineStr">
        <is>
          <t>Двигатель</t>
        </is>
      </c>
      <c r="D18" s="3" t="n">
        <v>1</v>
      </c>
      <c r="E18" s="3" t="n">
        <v>120</v>
      </c>
      <c r="F18" s="3" t="inlineStr">
        <is>
          <t>EUR</t>
        </is>
      </c>
      <c r="G18" s="3" t="n">
        <v>100000</v>
      </c>
      <c r="H18" s="3" t="inlineStr">
        <is>
          <t>Болгария</t>
        </is>
      </c>
      <c r="I18" s="3" t="n">
        <v>0</v>
      </c>
      <c r="J18" s="3" t="n">
        <v>8409990009</v>
      </c>
      <c r="K18" s="3" t="n">
        <v>5</v>
      </c>
      <c r="L18" s="3" t="n">
        <v>15</v>
      </c>
    </row>
    <row r="19">
      <c r="A19" s="3" t="inlineStr">
        <is>
          <t>Komatsu</t>
        </is>
      </c>
      <c r="B19" s="3" t="inlineStr">
        <is>
          <t>195-03-43100</t>
        </is>
      </c>
      <c r="C19" s="3" t="inlineStr">
        <is>
          <t>Поршень</t>
        </is>
      </c>
      <c r="D19" s="3" t="n">
        <v>1</v>
      </c>
      <c r="E19" s="3" t="n">
        <v>8</v>
      </c>
      <c r="F19" s="3" t="inlineStr">
        <is>
          <t>CNY</t>
        </is>
      </c>
      <c r="G19" s="3" t="n">
        <v>100000</v>
      </c>
      <c r="H19" s="3" t="inlineStr">
        <is>
          <t>Китай</t>
        </is>
      </c>
      <c r="I19" s="3" t="n">
        <v>0</v>
      </c>
      <c r="J19" s="3" t="n">
        <v>8708913509</v>
      </c>
      <c r="K19" s="3" t="n">
        <v>5</v>
      </c>
      <c r="L19" s="3" t="n">
        <v>15</v>
      </c>
    </row>
    <row r="20">
      <c r="A20" s="3" t="inlineStr">
        <is>
          <t>Komatsu</t>
        </is>
      </c>
      <c r="B20" s="3" t="inlineStr">
        <is>
          <t>600-614-5351</t>
        </is>
      </c>
      <c r="C20" s="3" t="inlineStr">
        <is>
          <t>Компрессор</t>
        </is>
      </c>
      <c r="D20" s="3" t="n">
        <v>1</v>
      </c>
      <c r="E20" s="3" t="n">
        <v>5</v>
      </c>
      <c r="F20" s="3" t="inlineStr">
        <is>
          <t>RUB</t>
        </is>
      </c>
      <c r="G20" s="3" t="n">
        <v>100000</v>
      </c>
      <c r="H20" s="3" t="inlineStr">
        <is>
          <t>Россия</t>
        </is>
      </c>
      <c r="I20" s="3" t="n">
        <v>0</v>
      </c>
      <c r="J20" s="3" t="n">
        <v>8414900000</v>
      </c>
      <c r="K20" s="3" t="n">
        <v>0</v>
      </c>
      <c r="L20" s="3" t="n">
        <v>15</v>
      </c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</row>
  </sheetData>
  <mergeCells count="6">
    <mergeCell ref="H1:J1"/>
    <mergeCell ref="H6:J6"/>
    <mergeCell ref="A14:L14"/>
    <mergeCell ref="A1:B1"/>
    <mergeCell ref="D1:F1"/>
    <mergeCell ref="D10:F10"/>
  </mergeCells>
  <dataValidations count="6">
    <dataValidation sqref="B2" showDropDown="0" showInputMessage="0" showErrorMessage="0" allowBlank="0" type="list">
      <formula1>"МАСТЕР БЭРИНГ ООО,ЦМТО1 ООО,РАД РЕСУРС ООО,TEXCEL OTOMOTİV TİCARET LİMİTED ŞİRKETİ,GESTUS DIŞ TİCARET LİMİTED ŞİRKETİ,UPDOOR Limited"</formula1>
    </dataValidation>
    <dataValidation sqref="B3" showDropDown="0" showInputMessage="0" showErrorMessage="0" allowBlank="0" type="list">
      <formula1>"поставка,транзит,финтранзит,экспорт"</formula1>
    </dataValidation>
    <dataValidation sqref="B4" showDropDown="0" showInputMessage="0" showErrorMessage="0" allowBlank="0" type="list">
      <formula1>"DDP,DAP,CIF,FOB,EXW"</formula1>
    </dataValidation>
    <dataValidation sqref="B5 F12 F16 F17 F18 F19 F20 F21 F22 F23 F24 F25 F26 F27 F28 F29 F30 J3 J4 J5 J8 J9 J10 J11 J12" showDropDown="0" showInputMessage="0" showErrorMessage="0" allowBlank="0" type="list">
      <formula1>"USD,EUR,TRY,CNY,RUB"</formula1>
    </dataValidation>
    <dataValidation sqref="H16 H17 H18 H19 H20 H21 H22 H23 H24 H25 H26 H27 H28 H29 H30" showDropDown="0" showInputMessage="0" showErrorMessage="0" allowBlank="0" type="list">
      <formula1>"Турция,Турция (транзитная зона),Россия,Китай,Литва,Латвия,Болгария,Польша,ЕС (закупка между странами ЕС),ОАЭ,Прочие"</formula1>
    </dataValidation>
    <dataValidation sqref="E11" showDropDown="0" showInputMessage="0" showErrorMessage="0" allowBlank="0" type="list">
      <formula1>"% от суммы,фикс. сумма"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2025-11-28T13:54:11Z</dcterms:created>
  <dcterms:modified xsi:type="dcterms:W3CDTF">2025-11-28T13:54:11Z</dcterms:modified>
</cp:coreProperties>
</file>